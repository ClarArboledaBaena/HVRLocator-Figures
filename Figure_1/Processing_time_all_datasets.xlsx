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cloud\Documents\MiCoDa\1.MiCoDa_V2_EVECluster\2.DetectPrimer_FelipeScript\0.FinalTables_Joao\Results\13_Jun\"/>
    </mc:Choice>
  </mc:AlternateContent>
  <xr:revisionPtr revIDLastSave="0" documentId="13_ncr:1_{61185BE7-F8BF-47F1-8B65-A3ABD07B5A5A}" xr6:coauthVersionLast="47" xr6:coauthVersionMax="47" xr10:uidLastSave="{00000000-0000-0000-0000-000000000000}"/>
  <bookViews>
    <workbookView xWindow="-103" yWindow="-103" windowWidth="16663" windowHeight="8743" tabRatio="696" firstSheet="1" activeTab="7" xr2:uid="{00000000-000D-0000-FFFF-FFFF00000000}"/>
  </bookViews>
  <sheets>
    <sheet name="Processing_time_all_datasets" sheetId="1" r:id="rId1"/>
    <sheet name="Copy" sheetId="2" r:id="rId2"/>
    <sheet name="Resumen" sheetId="3" r:id="rId3"/>
    <sheet name="PivotChart" sheetId="4" r:id="rId4"/>
    <sheet name="Final" sheetId="5" r:id="rId5"/>
    <sheet name="TablaParaR" sheetId="6" r:id="rId6"/>
    <sheet name="TABLA R" sheetId="7" r:id="rId7"/>
    <sheet name="TablePaper_update2025" sheetId="8" r:id="rId8"/>
  </sheets>
  <definedNames>
    <definedName name="_xlnm._FilterDatabase" localSheetId="0" hidden="1">Processing_time_all_datasets!$A$1:$D$19</definedName>
  </definedNames>
  <calcPr calcId="191029"/>
  <pivotCaches>
    <pivotCache cacheId="1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8" l="1"/>
  <c r="C10" i="8"/>
  <c r="C7" i="8"/>
  <c r="E4" i="8"/>
  <c r="C4" i="8"/>
  <c r="C9" i="8"/>
  <c r="C6" i="8"/>
  <c r="E9" i="8"/>
  <c r="E6" i="8"/>
  <c r="C3" i="8"/>
  <c r="E3" i="8"/>
  <c r="C8" i="8"/>
  <c r="C5" i="8"/>
  <c r="C2" i="8"/>
  <c r="E2" i="8"/>
  <c r="G16" i="3"/>
  <c r="B22" i="1"/>
  <c r="C22" i="1" s="1"/>
  <c r="F15" i="3"/>
  <c r="I6" i="6"/>
  <c r="I11" i="6"/>
  <c r="I16" i="6"/>
  <c r="I6" i="3"/>
  <c r="I7" i="3"/>
  <c r="I8" i="3"/>
  <c r="I9" i="3"/>
  <c r="I10" i="3"/>
  <c r="I11" i="3"/>
  <c r="I12" i="3"/>
  <c r="I13" i="3"/>
  <c r="I3" i="3"/>
  <c r="I4" i="3"/>
  <c r="I5" i="3"/>
  <c r="I2" i="3"/>
  <c r="C19" i="5"/>
  <c r="C20" i="5"/>
  <c r="C21" i="5"/>
  <c r="C17" i="5"/>
  <c r="C13" i="5"/>
  <c r="C14" i="5"/>
  <c r="C12" i="5"/>
  <c r="C11" i="5"/>
  <c r="C10" i="5"/>
  <c r="C9" i="5"/>
  <c r="C8" i="5"/>
  <c r="C7" i="5"/>
  <c r="F3" i="5"/>
  <c r="C15" i="5" s="1"/>
  <c r="F4" i="5"/>
  <c r="C18" i="5" s="1"/>
  <c r="F2" i="5"/>
  <c r="F3" i="2"/>
  <c r="F4" i="2"/>
  <c r="F5" i="2"/>
  <c r="F6" i="2"/>
  <c r="F7" i="2"/>
  <c r="F8" i="2"/>
  <c r="F9" i="2"/>
  <c r="F10" i="2"/>
  <c r="F11" i="2"/>
  <c r="F12" i="2"/>
  <c r="F13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C16" i="5" l="1"/>
</calcChain>
</file>

<file path=xl/sharedStrings.xml><?xml version="1.0" encoding="utf-8"?>
<sst xmlns="http://schemas.openxmlformats.org/spreadsheetml/2006/main" count="108" uniqueCount="46">
  <si>
    <t>Set</t>
  </si>
  <si>
    <t>Duration (min)</t>
  </si>
  <si>
    <t>Total samples</t>
  </si>
  <si>
    <t>Processed samples</t>
  </si>
  <si>
    <t>Set1_0.5</t>
  </si>
  <si>
    <t>Set1_0.6</t>
  </si>
  <si>
    <t>Set1_0.7</t>
  </si>
  <si>
    <t>Set2_0.5</t>
  </si>
  <si>
    <t>Set2_0.6</t>
  </si>
  <si>
    <t>Set2_0.7</t>
  </si>
  <si>
    <t>Set3_0.5</t>
  </si>
  <si>
    <t>Set3_0.6</t>
  </si>
  <si>
    <t>Set3_0.7</t>
  </si>
  <si>
    <t>Set4_0.5</t>
  </si>
  <si>
    <t>Set4_0.6</t>
  </si>
  <si>
    <t>Set4_0.7</t>
  </si>
  <si>
    <t>Set5_0.5</t>
  </si>
  <si>
    <t>Set5_0.6</t>
  </si>
  <si>
    <t>Set5_0.7</t>
  </si>
  <si>
    <t>Set6_0.5</t>
  </si>
  <si>
    <t>Set6_0.6</t>
  </si>
  <si>
    <t>Set6_0.7</t>
  </si>
  <si>
    <t>Warnings</t>
  </si>
  <si>
    <t>Samples per min</t>
  </si>
  <si>
    <t>Threshold</t>
  </si>
  <si>
    <t>Set1</t>
  </si>
  <si>
    <t>Set2</t>
  </si>
  <si>
    <t>Set3</t>
  </si>
  <si>
    <t>Set4</t>
  </si>
  <si>
    <t>Grand Total</t>
  </si>
  <si>
    <t>Row Labels</t>
  </si>
  <si>
    <t>Sum of Duration (min)</t>
  </si>
  <si>
    <t>Sum of Total samples</t>
  </si>
  <si>
    <t>Sum of Processed samples</t>
  </si>
  <si>
    <t>Sum of Warnings</t>
  </si>
  <si>
    <t>Time by one sample</t>
  </si>
  <si>
    <t>Number of Samples</t>
  </si>
  <si>
    <t>Time</t>
  </si>
  <si>
    <t>samples</t>
  </si>
  <si>
    <t>runtime_minutes</t>
  </si>
  <si>
    <t>Samples processed successfully</t>
  </si>
  <si>
    <t>Samples Not Processed (Warnings)</t>
  </si>
  <si>
    <t>Total Samples (Run Accession Numbers)</t>
  </si>
  <si>
    <t>Samples processed per minute</t>
  </si>
  <si>
    <t>Dataset</t>
  </si>
  <si>
    <t>Duration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</si>
</sst>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49" fontId="0" fillId="0" borderId="0" xfId="0" applyNumberFormat="1" applyAlignment="1">
      <alignment horizontal="left"/>
    </xf>
    <xf numFmtId="49" fontId="1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0" fontId="16" fillId="0" borderId="0" xfId="0" applyFont="1" applyFill="1" applyAlignment="1">
      <alignment horizontal="center" wrapText="1"/>
    </xf>
    <xf numFmtId="0" fontId="16" fillId="0" borderId="0" xfId="0" applyFont="1" applyFill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  <xf numFmtId="2" fontId="0" fillId="33" borderId="14" xfId="0" applyNumberFormat="1" applyFill="1" applyBorder="1" applyAlignment="1">
      <alignment horizontal="center"/>
    </xf>
    <xf numFmtId="2" fontId="0" fillId="33" borderId="15" xfId="0" applyNumberFormat="1" applyFill="1" applyBorder="1" applyAlignment="1">
      <alignment horizontal="center"/>
    </xf>
    <xf numFmtId="164" fontId="0" fillId="33" borderId="14" xfId="0" applyNumberFormat="1" applyFill="1" applyBorder="1" applyAlignment="1">
      <alignment horizontal="center"/>
    </xf>
    <xf numFmtId="164" fontId="0" fillId="33" borderId="15" xfId="0" applyNumberFormat="1" applyFill="1" applyBorder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[Processing_time_all_datasets.xlsx]PivotChart!PivotTable1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PivotChart!$B$1</c:f>
              <c:strCache>
                <c:ptCount val="1"/>
                <c:pt idx="0">
                  <c:v>Sum of Duration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PivotChart!$A$2:$A$5</c:f>
              <c:strCache>
                <c:ptCount val="3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</c:strCache>
            </c:strRef>
          </c:cat>
          <c:val>
            <c:numRef>
              <c:f>PivotChart!$B$2:$B$5</c:f>
              <c:numCache>
                <c:formatCode>General</c:formatCode>
                <c:ptCount val="3"/>
                <c:pt idx="0">
                  <c:v>6700.8099999999995</c:v>
                </c:pt>
                <c:pt idx="1">
                  <c:v>6703.77</c:v>
                </c:pt>
                <c:pt idx="2">
                  <c:v>6745.2199999999993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0-41EC-AFE8-9B2DA6A52432}"/>
            </c:ext>
          </c:extLst>
        </c:ser>
        <c:ser>
          <c:idx val="1"/>
          <c:order val="1"/>
          <c:tx>
            <c:strRef>
              <c:f>PivotChart!$C$1</c:f>
              <c:strCache>
                <c:ptCount val="1"/>
                <c:pt idx="0">
                  <c:v>Sum of Total samples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PivotChart!$A$2:$A$5</c:f>
              <c:strCache>
                <c:ptCount val="3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</c:strCache>
            </c:strRef>
          </c:cat>
          <c:val>
            <c:numRef>
              <c:f>PivotChart!$C$2:$C$5</c:f>
              <c:numCache>
                <c:formatCode>General</c:formatCode>
                <c:ptCount val="3"/>
                <c:pt idx="0">
                  <c:v>48060</c:v>
                </c:pt>
                <c:pt idx="1">
                  <c:v>48060</c:v>
                </c:pt>
                <c:pt idx="2">
                  <c:v>48060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0-41EC-AFE8-9B2DA6A52432}"/>
            </c:ext>
          </c:extLst>
        </c:ser>
        <c:ser>
          <c:idx val="2"/>
          <c:order val="2"/>
          <c:tx>
            <c:strRef>
              <c:f>PivotChart!$D$1</c:f>
              <c:strCache>
                <c:ptCount val="1"/>
                <c:pt idx="0">
                  <c:v>Sum of Processed samples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PivotChart!$A$2:$A$5</c:f>
              <c:strCache>
                <c:ptCount val="3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</c:strCache>
            </c:strRef>
          </c:cat>
          <c:val>
            <c:numRef>
              <c:f>PivotChart!$D$2:$D$5</c:f>
              <c:numCache>
                <c:formatCode>General</c:formatCode>
                <c:ptCount val="3"/>
                <c:pt idx="0">
                  <c:v>44078</c:v>
                </c:pt>
                <c:pt idx="1">
                  <c:v>44078</c:v>
                </c:pt>
                <c:pt idx="2">
                  <c:v>44078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90-41EC-AFE8-9B2DA6A52432}"/>
            </c:ext>
          </c:extLst>
        </c:ser>
        <c:ser>
          <c:idx val="3"/>
          <c:order val="3"/>
          <c:tx>
            <c:strRef>
              <c:f>PivotChart!$E$1</c:f>
              <c:strCache>
                <c:ptCount val="1"/>
                <c:pt idx="0">
                  <c:v>Sum of Warnings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PivotChart!$A$2:$A$5</c:f>
              <c:strCache>
                <c:ptCount val="3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</c:strCache>
            </c:strRef>
          </c:cat>
          <c:val>
            <c:numRef>
              <c:f>PivotChart!$E$2:$E$5</c:f>
              <c:numCache>
                <c:formatCode>General</c:formatCode>
                <c:ptCount val="3"/>
                <c:pt idx="0">
                  <c:v>3982</c:v>
                </c:pt>
                <c:pt idx="1">
                  <c:v>3982</c:v>
                </c:pt>
                <c:pt idx="2">
                  <c:v>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90-41EC-AFE8-9B2DA6A52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498032"/>
        <c:axId val="1785245104"/>
      </c:barChart>
      <c:catAx>
        <c:axId val="162049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5245104"/>
        <c:crosses val="autoZero"/>
        <c:auto val="1"/>
        <c:lblAlgn val="ctr"/>
        <c:lblOffset val="100"/>
        <c:noMultiLvlLbl val="0"/>
      </c:catAx>
      <c:valAx>
        <c:axId val="178524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049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1009650</xdr:colOff>
      <xdr:row>11</xdr:row>
      <xdr:rowOff>25400</xdr:rowOff>
    </xdr:from>
    <xdr:to>
      <xdr:col>6</xdr:col>
      <xdr:colOff>63500</xdr:colOff>
      <xdr:row>26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67F10-72D1-4A94-816F-31F0D7EE8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5443</xdr:colOff>
      <xdr:row>29</xdr:row>
      <xdr:rowOff>5443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448B9A-5574-4A07-9BF6-F43938CC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6086"/>
          <a:ext cx="7505700" cy="2226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oleda Baena, Clara María" refreshedDate="45845.717353125001" createdVersion="7" refreshedVersion="7" minRefreshableVersion="3" recordCount="12" xr:uid="{00000000-000A-0000-FFFF-FFFF02000000}">
  <cacheSource type="worksheet">
    <worksheetSource ref="A1:G13" sheet="Resumen"/>
  </cacheSource>
  <cacheFields count="7">
    <cacheField name="Set" numFmtId="0">
      <sharedItems/>
    </cacheField>
    <cacheField name="Threshold" numFmtId="49">
      <sharedItems containsSemiMixedTypes="0" containsString="0" containsNumber="1" minValue="0.5" maxValue="0.7" count="3">
        <n v="0.5"/>
        <n v="0.6"/>
        <n v="0.7"/>
      </sharedItems>
    </cacheField>
    <cacheField name="Duration (min)" numFmtId="0">
      <sharedItems containsSemiMixedTypes="0" containsString="0" containsNumber="1" minValue="595.48" maxValue="2884.8"/>
    </cacheField>
    <cacheField name="Total samples" numFmtId="0">
      <sharedItems containsSemiMixedTypes="0" containsString="0" containsNumber="1" containsInteger="1" minValue="4612" maxValue="19262"/>
    </cacheField>
    <cacheField name="Processed samples" numFmtId="0">
      <sharedItems containsSemiMixedTypes="0" containsString="0" containsNumber="1" containsInteger="1" minValue="4173" maxValue="17607"/>
    </cacheField>
    <cacheField name="Warnings" numFmtId="0">
      <sharedItems containsSemiMixedTypes="0" containsString="0" containsNumber="1" containsInteger="1" minValue="410" maxValue="1655"/>
    </cacheField>
    <cacheField name="Samples per min" numFmtId="0">
      <sharedItems containsSemiMixedTypes="0" containsString="0" containsNumber="1" minValue="0.11850713189748252" maxValue="0.17377143724389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Set1"/>
    <x v="0"/>
    <n v="2085.37"/>
    <n v="17597"/>
    <n v="16119"/>
    <n v="1478"/>
    <n v="0.11850713189748252"/>
  </r>
  <r>
    <s v="Set2"/>
    <x v="0"/>
    <n v="2871.48"/>
    <n v="19262"/>
    <n v="17607"/>
    <n v="1655"/>
    <n v="0.14907486242342435"/>
  </r>
  <r>
    <s v="Set3"/>
    <x v="0"/>
    <n v="1144.98"/>
    <n v="6589"/>
    <n v="6179"/>
    <n v="410"/>
    <n v="0.17377143724389132"/>
  </r>
  <r>
    <s v="Set4"/>
    <x v="0"/>
    <n v="598.98"/>
    <n v="4612"/>
    <n v="4173"/>
    <n v="439"/>
    <n v="0.12987424111014745"/>
  </r>
  <r>
    <s v="Set1"/>
    <x v="1"/>
    <n v="2113.4299999999998"/>
    <n v="17597"/>
    <n v="16119"/>
    <n v="1478"/>
    <n v="0.12010172188441211"/>
  </r>
  <r>
    <s v="Set2"/>
    <x v="1"/>
    <n v="2871.48"/>
    <n v="19262"/>
    <n v="17607"/>
    <n v="1655"/>
    <n v="0.14907486242342435"/>
  </r>
  <r>
    <s v="Set3"/>
    <x v="1"/>
    <n v="1123.3800000000001"/>
    <n v="6589"/>
    <n v="6179"/>
    <n v="410"/>
    <n v="0.17049324631962362"/>
  </r>
  <r>
    <s v="Set4"/>
    <x v="1"/>
    <n v="595.48"/>
    <n v="4612"/>
    <n v="4173"/>
    <n v="439"/>
    <n v="0.12911535125758891"/>
  </r>
  <r>
    <s v="Set1"/>
    <x v="2"/>
    <n v="2121.5300000000002"/>
    <n v="17597"/>
    <n v="16119"/>
    <n v="1478"/>
    <n v="0.12056202761834404"/>
  </r>
  <r>
    <s v="Set2"/>
    <x v="2"/>
    <n v="2884.8"/>
    <n v="19262"/>
    <n v="17607"/>
    <n v="1655"/>
    <n v="0.14976637939985465"/>
  </r>
  <r>
    <s v="Set3"/>
    <x v="2"/>
    <n v="1138.3699999999999"/>
    <n v="6589"/>
    <n v="6179"/>
    <n v="410"/>
    <n v="0.17276825011382604"/>
  </r>
  <r>
    <s v="Set4"/>
    <x v="2"/>
    <n v="600.52"/>
    <n v="4612"/>
    <n v="4173"/>
    <n v="439"/>
    <n v="0.13020815264527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E5" firstHeaderRow="0" firstDataRow="1" firstDataCol="1"/>
  <pivotFields count="7">
    <pivotField showAll="0"/>
    <pivotField axis="axisRow" numFmtId="49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uration (min)" fld="2" baseField="0" baseItem="0"/>
    <dataField name="Sum of Total samples" fld="3" baseField="0" baseItem="0"/>
    <dataField name="Sum of Processed samples" fld="4" baseField="0" baseItem="0"/>
    <dataField name="Sum of Warnings" fld="5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E28" sqref="E28"/>
    </sheetView>
  </sheetViews>
  <sheetFormatPr defaultRowHeight="14.6" x14ac:dyDescent="0.4"/>
  <cols>
    <col min="1" max="1" width="11.53515625" customWidth="1"/>
    <col min="2" max="2" width="15.84375" customWidth="1"/>
    <col min="3" max="3" width="14.53515625" customWidth="1"/>
    <col min="4" max="4" width="20.8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2085.37</v>
      </c>
      <c r="C2">
        <v>17597</v>
      </c>
      <c r="D2">
        <v>16119</v>
      </c>
    </row>
    <row r="3" spans="1:4" x14ac:dyDescent="0.4">
      <c r="A3" t="s">
        <v>5</v>
      </c>
      <c r="B3">
        <v>2113.4299999999998</v>
      </c>
      <c r="C3">
        <v>17597</v>
      </c>
      <c r="D3">
        <v>16119</v>
      </c>
    </row>
    <row r="4" spans="1:4" x14ac:dyDescent="0.4">
      <c r="A4" t="s">
        <v>6</v>
      </c>
      <c r="B4">
        <v>2121.5300000000002</v>
      </c>
      <c r="C4">
        <v>17597</v>
      </c>
      <c r="D4">
        <v>16119</v>
      </c>
    </row>
    <row r="5" spans="1:4" x14ac:dyDescent="0.4">
      <c r="A5" t="s">
        <v>7</v>
      </c>
      <c r="B5">
        <v>2871.48</v>
      </c>
      <c r="C5">
        <v>19262</v>
      </c>
      <c r="D5">
        <v>17607</v>
      </c>
    </row>
    <row r="6" spans="1:4" x14ac:dyDescent="0.4">
      <c r="A6" t="s">
        <v>8</v>
      </c>
      <c r="B6">
        <v>2871.48</v>
      </c>
      <c r="C6">
        <v>19262</v>
      </c>
      <c r="D6">
        <v>17607</v>
      </c>
    </row>
    <row r="7" spans="1:4" x14ac:dyDescent="0.4">
      <c r="A7" t="s">
        <v>9</v>
      </c>
      <c r="B7">
        <v>2884.8</v>
      </c>
      <c r="C7">
        <v>19262</v>
      </c>
      <c r="D7">
        <v>17607</v>
      </c>
    </row>
    <row r="8" spans="1:4" x14ac:dyDescent="0.4">
      <c r="A8" t="s">
        <v>10</v>
      </c>
      <c r="B8">
        <v>1144.98</v>
      </c>
      <c r="C8">
        <v>6589</v>
      </c>
      <c r="D8">
        <v>6179</v>
      </c>
    </row>
    <row r="9" spans="1:4" x14ac:dyDescent="0.4">
      <c r="A9" t="s">
        <v>11</v>
      </c>
      <c r="B9">
        <v>1123.3800000000001</v>
      </c>
      <c r="C9">
        <v>6589</v>
      </c>
      <c r="D9">
        <v>6179</v>
      </c>
    </row>
    <row r="10" spans="1:4" x14ac:dyDescent="0.4">
      <c r="A10" t="s">
        <v>12</v>
      </c>
      <c r="B10">
        <v>1138.3699999999999</v>
      </c>
      <c r="C10">
        <v>6589</v>
      </c>
      <c r="D10">
        <v>6179</v>
      </c>
    </row>
    <row r="11" spans="1:4" x14ac:dyDescent="0.4">
      <c r="A11" t="s">
        <v>13</v>
      </c>
      <c r="B11">
        <v>598.98</v>
      </c>
      <c r="C11">
        <v>4612</v>
      </c>
      <c r="D11">
        <v>4173</v>
      </c>
    </row>
    <row r="12" spans="1:4" x14ac:dyDescent="0.4">
      <c r="A12" t="s">
        <v>14</v>
      </c>
      <c r="B12">
        <v>595.48</v>
      </c>
      <c r="C12">
        <v>4612</v>
      </c>
      <c r="D12">
        <v>4173</v>
      </c>
    </row>
    <row r="13" spans="1:4" x14ac:dyDescent="0.4">
      <c r="A13" t="s">
        <v>15</v>
      </c>
      <c r="B13">
        <v>600.52</v>
      </c>
      <c r="C13">
        <v>4612</v>
      </c>
      <c r="D13">
        <v>4173</v>
      </c>
    </row>
    <row r="14" spans="1:4" x14ac:dyDescent="0.4">
      <c r="A14" t="s">
        <v>16</v>
      </c>
      <c r="B14">
        <v>7.23</v>
      </c>
      <c r="C14">
        <v>50</v>
      </c>
      <c r="D14">
        <v>50</v>
      </c>
    </row>
    <row r="15" spans="1:4" x14ac:dyDescent="0.4">
      <c r="A15" t="s">
        <v>17</v>
      </c>
      <c r="B15">
        <v>7.2</v>
      </c>
      <c r="C15">
        <v>50</v>
      </c>
      <c r="D15">
        <v>50</v>
      </c>
    </row>
    <row r="16" spans="1:4" x14ac:dyDescent="0.4">
      <c r="A16" t="s">
        <v>18</v>
      </c>
      <c r="B16">
        <v>7.22</v>
      </c>
      <c r="C16">
        <v>50</v>
      </c>
      <c r="D16">
        <v>50</v>
      </c>
    </row>
    <row r="17" spans="1:4" x14ac:dyDescent="0.4">
      <c r="A17" t="s">
        <v>19</v>
      </c>
      <c r="B17">
        <v>26.98</v>
      </c>
      <c r="C17">
        <v>191</v>
      </c>
      <c r="D17">
        <v>189</v>
      </c>
    </row>
    <row r="18" spans="1:4" x14ac:dyDescent="0.4">
      <c r="A18" t="s">
        <v>20</v>
      </c>
      <c r="B18">
        <v>27</v>
      </c>
      <c r="C18">
        <v>191</v>
      </c>
      <c r="D18">
        <v>189</v>
      </c>
    </row>
    <row r="19" spans="1:4" x14ac:dyDescent="0.4">
      <c r="A19" t="s">
        <v>21</v>
      </c>
      <c r="B19">
        <v>27.02</v>
      </c>
      <c r="C19">
        <v>191</v>
      </c>
      <c r="D19">
        <v>189</v>
      </c>
    </row>
    <row r="22" spans="1:4" x14ac:dyDescent="0.4">
      <c r="B22">
        <f>SUM(B2:B19)</f>
        <v>20252.45</v>
      </c>
      <c r="C22">
        <f>(B22/60)</f>
        <v>337.54083333333335</v>
      </c>
    </row>
  </sheetData>
  <autoFilter ref="A1:D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F14" sqref="F14"/>
    </sheetView>
  </sheetViews>
  <sheetFormatPr defaultColWidth="8.69140625" defaultRowHeight="14.6" x14ac:dyDescent="0.4"/>
  <cols>
    <col min="1" max="1" width="9.53515625" style="1" customWidth="1"/>
    <col min="2" max="2" width="14" style="1" customWidth="1"/>
    <col min="3" max="3" width="12.84375" style="1" customWidth="1"/>
    <col min="4" max="4" width="17" style="1" customWidth="1"/>
    <col min="5" max="5" width="8.84375" style="1" customWidth="1"/>
    <col min="6" max="6" width="14.84375" style="4" customWidth="1"/>
    <col min="7" max="7" width="11.4609375" style="1" customWidth="1"/>
    <col min="8" max="16384" width="8.69140625" style="1"/>
  </cols>
  <sheetData>
    <row r="1" spans="1:6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3" t="s">
        <v>23</v>
      </c>
    </row>
    <row r="2" spans="1:6" x14ac:dyDescent="0.4">
      <c r="A2" s="1" t="s">
        <v>4</v>
      </c>
      <c r="B2" s="1">
        <v>2085.37</v>
      </c>
      <c r="C2" s="1">
        <v>17597</v>
      </c>
      <c r="D2" s="1">
        <v>16119</v>
      </c>
      <c r="E2" s="1">
        <f>(C2-D2)</f>
        <v>1478</v>
      </c>
      <c r="F2" s="4">
        <f>(B2/C2)</f>
        <v>0.11850713189748252</v>
      </c>
    </row>
    <row r="3" spans="1:6" x14ac:dyDescent="0.4">
      <c r="A3" s="1" t="s">
        <v>5</v>
      </c>
      <c r="B3" s="1">
        <v>2113.4299999999998</v>
      </c>
      <c r="C3" s="1">
        <v>17597</v>
      </c>
      <c r="D3" s="1">
        <v>16119</v>
      </c>
      <c r="E3" s="1">
        <f t="shared" ref="E3:E13" si="0">(C3-D3)</f>
        <v>1478</v>
      </c>
      <c r="F3" s="4">
        <f t="shared" ref="F3:F13" si="1">(B3/C3)</f>
        <v>0.12010172188441211</v>
      </c>
    </row>
    <row r="4" spans="1:6" x14ac:dyDescent="0.4">
      <c r="A4" s="1" t="s">
        <v>6</v>
      </c>
      <c r="B4" s="1">
        <v>2121.5300000000002</v>
      </c>
      <c r="C4" s="1">
        <v>17597</v>
      </c>
      <c r="D4" s="1">
        <v>16119</v>
      </c>
      <c r="E4" s="1">
        <f t="shared" si="0"/>
        <v>1478</v>
      </c>
      <c r="F4" s="4">
        <f t="shared" si="1"/>
        <v>0.12056202761834404</v>
      </c>
    </row>
    <row r="5" spans="1:6" x14ac:dyDescent="0.4">
      <c r="A5" s="1" t="s">
        <v>7</v>
      </c>
      <c r="B5" s="1">
        <v>2871.48</v>
      </c>
      <c r="C5" s="1">
        <v>19262</v>
      </c>
      <c r="D5" s="1">
        <v>17607</v>
      </c>
      <c r="E5" s="1">
        <f t="shared" si="0"/>
        <v>1655</v>
      </c>
      <c r="F5" s="4">
        <f t="shared" si="1"/>
        <v>0.14907486242342435</v>
      </c>
    </row>
    <row r="6" spans="1:6" x14ac:dyDescent="0.4">
      <c r="A6" s="1" t="s">
        <v>8</v>
      </c>
      <c r="B6" s="1">
        <v>2871.48</v>
      </c>
      <c r="C6" s="1">
        <v>19262</v>
      </c>
      <c r="D6" s="1">
        <v>17607</v>
      </c>
      <c r="E6" s="1">
        <f t="shared" si="0"/>
        <v>1655</v>
      </c>
      <c r="F6" s="4">
        <f t="shared" si="1"/>
        <v>0.14907486242342435</v>
      </c>
    </row>
    <row r="7" spans="1:6" x14ac:dyDescent="0.4">
      <c r="A7" s="1" t="s">
        <v>9</v>
      </c>
      <c r="B7" s="1">
        <v>2884.8</v>
      </c>
      <c r="C7" s="1">
        <v>19262</v>
      </c>
      <c r="D7" s="1">
        <v>17607</v>
      </c>
      <c r="E7" s="1">
        <f t="shared" si="0"/>
        <v>1655</v>
      </c>
      <c r="F7" s="4">
        <f t="shared" si="1"/>
        <v>0.14976637939985465</v>
      </c>
    </row>
    <row r="8" spans="1:6" x14ac:dyDescent="0.4">
      <c r="A8" s="1" t="s">
        <v>10</v>
      </c>
      <c r="B8" s="1">
        <v>1144.98</v>
      </c>
      <c r="C8" s="1">
        <v>6589</v>
      </c>
      <c r="D8" s="1">
        <v>6179</v>
      </c>
      <c r="E8" s="1">
        <f t="shared" si="0"/>
        <v>410</v>
      </c>
      <c r="F8" s="4">
        <f t="shared" si="1"/>
        <v>0.17377143724389132</v>
      </c>
    </row>
    <row r="9" spans="1:6" x14ac:dyDescent="0.4">
      <c r="A9" s="1" t="s">
        <v>11</v>
      </c>
      <c r="B9" s="1">
        <v>1123.3800000000001</v>
      </c>
      <c r="C9" s="1">
        <v>6589</v>
      </c>
      <c r="D9" s="1">
        <v>6179</v>
      </c>
      <c r="E9" s="1">
        <f t="shared" si="0"/>
        <v>410</v>
      </c>
      <c r="F9" s="4">
        <f t="shared" si="1"/>
        <v>0.17049324631962362</v>
      </c>
    </row>
    <row r="10" spans="1:6" x14ac:dyDescent="0.4">
      <c r="A10" s="1" t="s">
        <v>12</v>
      </c>
      <c r="B10" s="1">
        <v>1138.3699999999999</v>
      </c>
      <c r="C10" s="1">
        <v>6589</v>
      </c>
      <c r="D10" s="1">
        <v>6179</v>
      </c>
      <c r="E10" s="1">
        <f t="shared" si="0"/>
        <v>410</v>
      </c>
      <c r="F10" s="4">
        <f t="shared" si="1"/>
        <v>0.17276825011382604</v>
      </c>
    </row>
    <row r="11" spans="1:6" x14ac:dyDescent="0.4">
      <c r="A11" s="1" t="s">
        <v>13</v>
      </c>
      <c r="B11" s="1">
        <v>598.98</v>
      </c>
      <c r="C11" s="1">
        <v>4612</v>
      </c>
      <c r="D11" s="1">
        <v>4173</v>
      </c>
      <c r="E11" s="1">
        <f t="shared" si="0"/>
        <v>439</v>
      </c>
      <c r="F11" s="4">
        <f t="shared" si="1"/>
        <v>0.12987424111014745</v>
      </c>
    </row>
    <row r="12" spans="1:6" x14ac:dyDescent="0.4">
      <c r="A12" s="1" t="s">
        <v>14</v>
      </c>
      <c r="B12" s="1">
        <v>595.48</v>
      </c>
      <c r="C12" s="1">
        <v>4612</v>
      </c>
      <c r="D12" s="1">
        <v>4173</v>
      </c>
      <c r="E12" s="1">
        <f t="shared" si="0"/>
        <v>439</v>
      </c>
      <c r="F12" s="4">
        <f t="shared" si="1"/>
        <v>0.12911535125758891</v>
      </c>
    </row>
    <row r="13" spans="1:6" x14ac:dyDescent="0.4">
      <c r="A13" s="1" t="s">
        <v>15</v>
      </c>
      <c r="B13" s="1">
        <v>600.52</v>
      </c>
      <c r="C13" s="1">
        <v>4612</v>
      </c>
      <c r="D13" s="1">
        <v>4173</v>
      </c>
      <c r="E13" s="1">
        <f t="shared" si="0"/>
        <v>439</v>
      </c>
      <c r="F13" s="4">
        <f t="shared" si="1"/>
        <v>0.13020815264527319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F26" sqref="F26"/>
    </sheetView>
  </sheetViews>
  <sheetFormatPr defaultRowHeight="14.6" x14ac:dyDescent="0.4"/>
  <cols>
    <col min="1" max="1" width="11.23046875" style="1" customWidth="1"/>
    <col min="2" max="2" width="16.15234375" style="5" customWidth="1"/>
    <col min="3" max="4" width="16.15234375" style="1" customWidth="1"/>
    <col min="5" max="5" width="21.53515625" style="1" customWidth="1"/>
    <col min="6" max="6" width="16.15234375" style="1" customWidth="1"/>
    <col min="7" max="7" width="15.23046875" style="1" customWidth="1"/>
    <col min="8" max="8" width="20.15234375" style="1" customWidth="1"/>
    <col min="9" max="9" width="14.69140625" style="1" customWidth="1"/>
  </cols>
  <sheetData>
    <row r="1" spans="1:9" x14ac:dyDescent="0.4">
      <c r="A1" s="1" t="s">
        <v>0</v>
      </c>
      <c r="B1" s="5" t="s">
        <v>24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  <c r="H1" s="1" t="s">
        <v>36</v>
      </c>
      <c r="I1" s="1" t="s">
        <v>37</v>
      </c>
    </row>
    <row r="2" spans="1:9" x14ac:dyDescent="0.4">
      <c r="A2" s="1" t="s">
        <v>25</v>
      </c>
      <c r="B2" s="5">
        <v>0.5</v>
      </c>
      <c r="C2" s="1">
        <v>2085.37</v>
      </c>
      <c r="D2" s="1">
        <v>17597</v>
      </c>
      <c r="E2" s="1">
        <v>16119</v>
      </c>
      <c r="F2" s="1">
        <v>1478</v>
      </c>
      <c r="G2" s="1">
        <v>0.11850713189748252</v>
      </c>
      <c r="H2" s="1">
        <v>10000</v>
      </c>
      <c r="I2" s="1">
        <f>(H2*G2)</f>
        <v>1185.0713189748253</v>
      </c>
    </row>
    <row r="3" spans="1:9" x14ac:dyDescent="0.4">
      <c r="A3" s="1" t="s">
        <v>26</v>
      </c>
      <c r="B3" s="5">
        <v>0.5</v>
      </c>
      <c r="C3" s="1">
        <v>2871.48</v>
      </c>
      <c r="D3" s="1">
        <v>19262</v>
      </c>
      <c r="E3" s="1">
        <v>17607</v>
      </c>
      <c r="F3" s="1">
        <v>1655</v>
      </c>
      <c r="G3" s="1">
        <v>0.14907486242342435</v>
      </c>
      <c r="H3" s="1">
        <v>1000</v>
      </c>
      <c r="I3" s="1">
        <f t="shared" ref="I3:I13" si="0">(H3*G3)</f>
        <v>149.07486242342435</v>
      </c>
    </row>
    <row r="4" spans="1:9" x14ac:dyDescent="0.4">
      <c r="A4" s="1" t="s">
        <v>27</v>
      </c>
      <c r="B4" s="5">
        <v>0.5</v>
      </c>
      <c r="C4" s="1">
        <v>1144.98</v>
      </c>
      <c r="D4" s="1">
        <v>6589</v>
      </c>
      <c r="E4" s="1">
        <v>6179</v>
      </c>
      <c r="F4" s="1">
        <v>410</v>
      </c>
      <c r="G4" s="1">
        <v>0.17377143724389132</v>
      </c>
      <c r="H4" s="1">
        <v>100</v>
      </c>
      <c r="I4" s="1">
        <f t="shared" si="0"/>
        <v>17.377143724389132</v>
      </c>
    </row>
    <row r="5" spans="1:9" x14ac:dyDescent="0.4">
      <c r="A5" s="1" t="s">
        <v>28</v>
      </c>
      <c r="B5" s="5">
        <v>0.5</v>
      </c>
      <c r="C5" s="1">
        <v>598.98</v>
      </c>
      <c r="D5" s="1">
        <v>4612</v>
      </c>
      <c r="E5" s="1">
        <v>4173</v>
      </c>
      <c r="F5" s="1">
        <v>439</v>
      </c>
      <c r="G5" s="1">
        <v>0.12987424111014745</v>
      </c>
      <c r="H5" s="1">
        <v>10</v>
      </c>
      <c r="I5" s="1">
        <f t="shared" si="0"/>
        <v>1.2987424111014745</v>
      </c>
    </row>
    <row r="6" spans="1:9" x14ac:dyDescent="0.4">
      <c r="A6" s="1" t="s">
        <v>25</v>
      </c>
      <c r="B6" s="5">
        <v>0.6</v>
      </c>
      <c r="C6" s="1">
        <v>2113.4299999999998</v>
      </c>
      <c r="D6" s="1">
        <v>17597</v>
      </c>
      <c r="E6" s="1">
        <v>16119</v>
      </c>
      <c r="F6" s="1">
        <v>1478</v>
      </c>
      <c r="G6" s="1">
        <v>0.12010172188441211</v>
      </c>
      <c r="H6" s="1">
        <v>10000</v>
      </c>
      <c r="I6" s="1">
        <f t="shared" si="0"/>
        <v>1201.0172188441211</v>
      </c>
    </row>
    <row r="7" spans="1:9" x14ac:dyDescent="0.4">
      <c r="A7" s="1" t="s">
        <v>26</v>
      </c>
      <c r="B7" s="5">
        <v>0.6</v>
      </c>
      <c r="C7" s="1">
        <v>2871.48</v>
      </c>
      <c r="D7" s="1">
        <v>19262</v>
      </c>
      <c r="E7" s="1">
        <v>17607</v>
      </c>
      <c r="F7" s="1">
        <v>1655</v>
      </c>
      <c r="G7" s="1">
        <v>0.14907486242342435</v>
      </c>
      <c r="H7" s="1">
        <v>1000</v>
      </c>
      <c r="I7" s="1">
        <f t="shared" si="0"/>
        <v>149.07486242342435</v>
      </c>
    </row>
    <row r="8" spans="1:9" x14ac:dyDescent="0.4">
      <c r="A8" s="1" t="s">
        <v>27</v>
      </c>
      <c r="B8" s="5">
        <v>0.6</v>
      </c>
      <c r="C8" s="1">
        <v>1123.3800000000001</v>
      </c>
      <c r="D8" s="1">
        <v>6589</v>
      </c>
      <c r="E8" s="1">
        <v>6179</v>
      </c>
      <c r="F8" s="1">
        <v>410</v>
      </c>
      <c r="G8" s="1">
        <v>0.17049324631962362</v>
      </c>
      <c r="H8" s="1">
        <v>100</v>
      </c>
      <c r="I8" s="1">
        <f t="shared" si="0"/>
        <v>17.049324631962364</v>
      </c>
    </row>
    <row r="9" spans="1:9" x14ac:dyDescent="0.4">
      <c r="A9" s="1" t="s">
        <v>28</v>
      </c>
      <c r="B9" s="5">
        <v>0.6</v>
      </c>
      <c r="C9" s="1">
        <v>595.48</v>
      </c>
      <c r="D9" s="1">
        <v>4612</v>
      </c>
      <c r="E9" s="1">
        <v>4173</v>
      </c>
      <c r="F9" s="1">
        <v>439</v>
      </c>
      <c r="G9" s="1">
        <v>0.12911535125758891</v>
      </c>
      <c r="H9" s="1">
        <v>10</v>
      </c>
      <c r="I9" s="1">
        <f t="shared" si="0"/>
        <v>1.2911535125758891</v>
      </c>
    </row>
    <row r="10" spans="1:9" x14ac:dyDescent="0.4">
      <c r="A10" s="1" t="s">
        <v>25</v>
      </c>
      <c r="B10" s="5">
        <v>0.7</v>
      </c>
      <c r="C10" s="1">
        <v>2121.5300000000002</v>
      </c>
      <c r="D10" s="1">
        <v>17597</v>
      </c>
      <c r="E10" s="1">
        <v>16119</v>
      </c>
      <c r="F10" s="1">
        <v>1478</v>
      </c>
      <c r="G10" s="1">
        <v>0.12056202761834404</v>
      </c>
      <c r="H10" s="1">
        <v>10000</v>
      </c>
      <c r="I10" s="1">
        <f t="shared" si="0"/>
        <v>1205.6202761834404</v>
      </c>
    </row>
    <row r="11" spans="1:9" x14ac:dyDescent="0.4">
      <c r="A11" s="1" t="s">
        <v>26</v>
      </c>
      <c r="B11" s="5">
        <v>0.7</v>
      </c>
      <c r="C11" s="1">
        <v>2884.8</v>
      </c>
      <c r="D11" s="1">
        <v>19262</v>
      </c>
      <c r="E11" s="1">
        <v>17607</v>
      </c>
      <c r="F11" s="1">
        <v>1655</v>
      </c>
      <c r="G11" s="1">
        <v>0.14976637939985465</v>
      </c>
      <c r="H11" s="1">
        <v>1000</v>
      </c>
      <c r="I11" s="1">
        <f t="shared" si="0"/>
        <v>149.76637939985466</v>
      </c>
    </row>
    <row r="12" spans="1:9" x14ac:dyDescent="0.4">
      <c r="A12" s="1" t="s">
        <v>27</v>
      </c>
      <c r="B12" s="5">
        <v>0.7</v>
      </c>
      <c r="C12" s="1">
        <v>1138.3699999999999</v>
      </c>
      <c r="D12" s="1">
        <v>6589</v>
      </c>
      <c r="E12" s="1">
        <v>6179</v>
      </c>
      <c r="F12" s="1">
        <v>410</v>
      </c>
      <c r="G12" s="1">
        <v>0.17276825011382604</v>
      </c>
      <c r="H12" s="1">
        <v>100</v>
      </c>
      <c r="I12" s="1">
        <f t="shared" si="0"/>
        <v>17.276825011382606</v>
      </c>
    </row>
    <row r="13" spans="1:9" x14ac:dyDescent="0.4">
      <c r="A13" s="1" t="s">
        <v>28</v>
      </c>
      <c r="B13" s="5">
        <v>0.7</v>
      </c>
      <c r="C13" s="1">
        <v>600.52</v>
      </c>
      <c r="D13" s="1">
        <v>4612</v>
      </c>
      <c r="E13" s="1">
        <v>4173</v>
      </c>
      <c r="F13" s="1">
        <v>439</v>
      </c>
      <c r="G13" s="1">
        <v>0.13020815264527319</v>
      </c>
      <c r="H13" s="1">
        <v>10</v>
      </c>
      <c r="I13" s="1">
        <f t="shared" si="0"/>
        <v>1.3020815264527319</v>
      </c>
    </row>
    <row r="15" spans="1:9" x14ac:dyDescent="0.4">
      <c r="D15" s="19">
        <v>45721</v>
      </c>
      <c r="E15" s="1">
        <v>42316</v>
      </c>
      <c r="F15" s="1">
        <f>(D15-E15)</f>
        <v>3405</v>
      </c>
    </row>
    <row r="16" spans="1:9" x14ac:dyDescent="0.4">
      <c r="G16" s="1">
        <f>AVERAGE(G2:G13)</f>
        <v>0.14277647202810775</v>
      </c>
    </row>
    <row r="17" spans="4:6" x14ac:dyDescent="0.4">
      <c r="F17" s="1">
        <v>3405</v>
      </c>
    </row>
    <row r="18" spans="4:6" x14ac:dyDescent="0.4">
      <c r="D18" s="1">
        <v>48060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sqref="A1:E4"/>
    </sheetView>
  </sheetViews>
  <sheetFormatPr defaultRowHeight="14.6" x14ac:dyDescent="0.4"/>
  <cols>
    <col min="1" max="1" width="12.4609375" bestFit="1" customWidth="1"/>
    <col min="2" max="2" width="19.53515625" bestFit="1" customWidth="1"/>
    <col min="3" max="3" width="18.84375" bestFit="1" customWidth="1"/>
    <col min="4" max="4" width="23.15234375" bestFit="1" customWidth="1"/>
    <col min="5" max="5" width="15.15234375" bestFit="1" customWidth="1"/>
    <col min="6" max="6" width="21.15234375" bestFit="1" customWidth="1"/>
  </cols>
  <sheetData>
    <row r="1" spans="1:5" x14ac:dyDescent="0.4">
      <c r="A1" s="7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4">
      <c r="A2" s="8">
        <v>0.5</v>
      </c>
      <c r="B2" s="6">
        <v>6700.8099999999995</v>
      </c>
      <c r="C2" s="6">
        <v>48060</v>
      </c>
      <c r="D2" s="6">
        <v>44078</v>
      </c>
      <c r="E2" s="6">
        <v>3982</v>
      </c>
    </row>
    <row r="3" spans="1:5" x14ac:dyDescent="0.4">
      <c r="A3" s="8">
        <v>0.6</v>
      </c>
      <c r="B3" s="6">
        <v>6703.77</v>
      </c>
      <c r="C3" s="6">
        <v>48060</v>
      </c>
      <c r="D3" s="6">
        <v>44078</v>
      </c>
      <c r="E3" s="6">
        <v>3982</v>
      </c>
    </row>
    <row r="4" spans="1:5" x14ac:dyDescent="0.4">
      <c r="A4" s="8">
        <v>0.7</v>
      </c>
      <c r="B4" s="6">
        <v>6745.2199999999993</v>
      </c>
      <c r="C4" s="6">
        <v>48060</v>
      </c>
      <c r="D4" s="6">
        <v>44078</v>
      </c>
      <c r="E4" s="6">
        <v>3982</v>
      </c>
    </row>
    <row r="5" spans="1:5" x14ac:dyDescent="0.4">
      <c r="A5" s="8" t="s">
        <v>29</v>
      </c>
      <c r="B5" s="6">
        <v>20149.8</v>
      </c>
      <c r="C5" s="6">
        <v>144180</v>
      </c>
      <c r="D5" s="6">
        <v>132234</v>
      </c>
      <c r="E5" s="6">
        <v>11946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A6" sqref="A6:C21"/>
    </sheetView>
  </sheetViews>
  <sheetFormatPr defaultColWidth="8.69140625" defaultRowHeight="14.6" x14ac:dyDescent="0.4"/>
  <cols>
    <col min="1" max="1" width="17.15234375" style="1" customWidth="1"/>
    <col min="2" max="2" width="21.53515625" style="1" customWidth="1"/>
    <col min="3" max="3" width="24.15234375" style="1" customWidth="1"/>
    <col min="4" max="4" width="28.15234375" style="1" customWidth="1"/>
    <col min="5" max="5" width="18" style="1" customWidth="1"/>
    <col min="6" max="6" width="20.23046875" style="1" customWidth="1"/>
    <col min="7" max="16384" width="8.69140625" style="1"/>
  </cols>
  <sheetData>
    <row r="1" spans="1:6" x14ac:dyDescent="0.4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 x14ac:dyDescent="0.4">
      <c r="A2" s="1">
        <v>0.5</v>
      </c>
      <c r="B2" s="1">
        <v>6700.8099999999995</v>
      </c>
      <c r="C2" s="1">
        <v>48060</v>
      </c>
      <c r="D2" s="1">
        <v>44078</v>
      </c>
      <c r="E2" s="1">
        <v>3982</v>
      </c>
      <c r="F2" s="1">
        <f>(B2/C2)</f>
        <v>0.13942592592592593</v>
      </c>
    </row>
    <row r="3" spans="1:6" x14ac:dyDescent="0.4">
      <c r="A3" s="1">
        <v>0.6</v>
      </c>
      <c r="B3" s="1">
        <v>6703.77</v>
      </c>
      <c r="C3" s="1">
        <v>48060</v>
      </c>
      <c r="D3" s="1">
        <v>44078</v>
      </c>
      <c r="E3" s="1">
        <v>3982</v>
      </c>
      <c r="F3" s="1">
        <f t="shared" ref="F3:F4" si="0">(B3/C3)</f>
        <v>0.13948751560549313</v>
      </c>
    </row>
    <row r="4" spans="1:6" x14ac:dyDescent="0.4">
      <c r="A4" s="1">
        <v>0.7</v>
      </c>
      <c r="B4" s="1">
        <v>6745.2199999999993</v>
      </c>
      <c r="C4" s="1">
        <v>48060</v>
      </c>
      <c r="D4" s="1">
        <v>44078</v>
      </c>
      <c r="E4" s="1">
        <v>3982</v>
      </c>
      <c r="F4" s="1">
        <f t="shared" si="0"/>
        <v>0.14034997919267581</v>
      </c>
    </row>
    <row r="6" spans="1:6" x14ac:dyDescent="0.4">
      <c r="A6" s="2" t="s">
        <v>24</v>
      </c>
      <c r="B6" s="2" t="s">
        <v>36</v>
      </c>
      <c r="C6" s="2" t="s">
        <v>37</v>
      </c>
    </row>
    <row r="7" spans="1:6" x14ac:dyDescent="0.4">
      <c r="A7" s="1">
        <v>0.5</v>
      </c>
      <c r="B7" s="1">
        <v>1</v>
      </c>
      <c r="C7" s="1">
        <f>(B7*$F$2)</f>
        <v>0.13942592592592593</v>
      </c>
    </row>
    <row r="8" spans="1:6" x14ac:dyDescent="0.4">
      <c r="A8" s="1">
        <v>0.5</v>
      </c>
      <c r="B8" s="1">
        <v>10</v>
      </c>
      <c r="C8" s="1">
        <f>(B8*$F$2)</f>
        <v>1.3942592592592593</v>
      </c>
    </row>
    <row r="9" spans="1:6" x14ac:dyDescent="0.4">
      <c r="A9" s="1">
        <v>0.5</v>
      </c>
      <c r="B9" s="1">
        <v>100</v>
      </c>
      <c r="C9" s="1">
        <f>(B9*$F$2)</f>
        <v>13.942592592592593</v>
      </c>
    </row>
    <row r="10" spans="1:6" x14ac:dyDescent="0.4">
      <c r="A10" s="1">
        <v>0.5</v>
      </c>
      <c r="B10" s="1">
        <v>1000</v>
      </c>
      <c r="C10" s="1">
        <f>(B10*$F$2)</f>
        <v>139.42592592592592</v>
      </c>
    </row>
    <row r="11" spans="1:6" x14ac:dyDescent="0.4">
      <c r="A11" s="1">
        <v>0.5</v>
      </c>
      <c r="B11" s="1">
        <v>10000</v>
      </c>
      <c r="C11" s="1">
        <f>(B11*$F$2)</f>
        <v>1394.2592592592594</v>
      </c>
    </row>
    <row r="12" spans="1:6" x14ac:dyDescent="0.4">
      <c r="A12" s="1">
        <v>0.6</v>
      </c>
      <c r="B12" s="1">
        <v>1</v>
      </c>
      <c r="C12" s="1">
        <f>(B12*$F$3)</f>
        <v>0.13948751560549313</v>
      </c>
    </row>
    <row r="13" spans="1:6" x14ac:dyDescent="0.4">
      <c r="A13" s="1">
        <v>0.6</v>
      </c>
      <c r="B13" s="1">
        <v>10</v>
      </c>
      <c r="C13" s="1">
        <f t="shared" ref="C13:C16" si="1">(B13*$F$3)</f>
        <v>1.3948751560549313</v>
      </c>
    </row>
    <row r="14" spans="1:6" x14ac:dyDescent="0.4">
      <c r="A14" s="1">
        <v>0.6</v>
      </c>
      <c r="B14" s="1">
        <v>100</v>
      </c>
      <c r="C14" s="1">
        <f t="shared" si="1"/>
        <v>13.948751560549313</v>
      </c>
    </row>
    <row r="15" spans="1:6" x14ac:dyDescent="0.4">
      <c r="A15" s="1">
        <v>0.6</v>
      </c>
      <c r="B15" s="1">
        <v>1000</v>
      </c>
      <c r="C15" s="1">
        <f t="shared" si="1"/>
        <v>139.48751560549314</v>
      </c>
    </row>
    <row r="16" spans="1:6" x14ac:dyDescent="0.4">
      <c r="A16" s="1">
        <v>0.6</v>
      </c>
      <c r="B16" s="1">
        <v>10000</v>
      </c>
      <c r="C16" s="1">
        <f t="shared" si="1"/>
        <v>1394.8751560549313</v>
      </c>
    </row>
    <row r="17" spans="1:3" x14ac:dyDescent="0.4">
      <c r="A17" s="1">
        <v>0.7</v>
      </c>
      <c r="B17" s="1">
        <v>1</v>
      </c>
      <c r="C17" s="1">
        <f>(B17*$F$4)</f>
        <v>0.14034997919267581</v>
      </c>
    </row>
    <row r="18" spans="1:3" x14ac:dyDescent="0.4">
      <c r="A18" s="1">
        <v>0.7</v>
      </c>
      <c r="B18" s="1">
        <v>10</v>
      </c>
      <c r="C18" s="1">
        <f t="shared" ref="C18:C21" si="2">(B18*$F$4)</f>
        <v>1.403499791926758</v>
      </c>
    </row>
    <row r="19" spans="1:3" x14ac:dyDescent="0.4">
      <c r="A19" s="1">
        <v>0.7</v>
      </c>
      <c r="B19" s="1">
        <v>100</v>
      </c>
      <c r="C19" s="1">
        <f t="shared" si="2"/>
        <v>14.03499791926758</v>
      </c>
    </row>
    <row r="20" spans="1:3" x14ac:dyDescent="0.4">
      <c r="A20" s="1">
        <v>0.7</v>
      </c>
      <c r="B20" s="1">
        <v>1000</v>
      </c>
      <c r="C20" s="1">
        <f t="shared" si="2"/>
        <v>140.34997919267582</v>
      </c>
    </row>
    <row r="21" spans="1:3" x14ac:dyDescent="0.4">
      <c r="A21" s="1">
        <v>0.7</v>
      </c>
      <c r="B21" s="1">
        <v>10000</v>
      </c>
      <c r="C21" s="1">
        <f t="shared" si="2"/>
        <v>1403.499791926758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activeCell="G25" sqref="G25"/>
    </sheetView>
  </sheetViews>
  <sheetFormatPr defaultRowHeight="14.6" x14ac:dyDescent="0.4"/>
  <cols>
    <col min="2" max="2" width="19.84375" customWidth="1"/>
    <col min="3" max="3" width="10.53515625" customWidth="1"/>
    <col min="5" max="5" width="8.69140625" customWidth="1"/>
  </cols>
  <sheetData>
    <row r="1" spans="1:9" x14ac:dyDescent="0.4">
      <c r="A1" s="1" t="s">
        <v>24</v>
      </c>
      <c r="B1" s="1" t="s">
        <v>36</v>
      </c>
      <c r="C1" s="1" t="s">
        <v>37</v>
      </c>
      <c r="E1" t="s">
        <v>0</v>
      </c>
      <c r="F1" t="s">
        <v>24</v>
      </c>
      <c r="G1" t="s">
        <v>23</v>
      </c>
      <c r="H1" t="s">
        <v>36</v>
      </c>
      <c r="I1" t="s">
        <v>37</v>
      </c>
    </row>
    <row r="2" spans="1:9" x14ac:dyDescent="0.4">
      <c r="A2" s="1">
        <v>0.5</v>
      </c>
      <c r="B2" s="1">
        <v>1</v>
      </c>
      <c r="C2" s="1">
        <v>0.13942592592592593</v>
      </c>
      <c r="E2" t="s">
        <v>25</v>
      </c>
      <c r="F2">
        <v>0.5</v>
      </c>
      <c r="G2">
        <v>0.11850713189748252</v>
      </c>
      <c r="H2">
        <v>10000</v>
      </c>
      <c r="I2">
        <v>1185.0713189748253</v>
      </c>
    </row>
    <row r="3" spans="1:9" x14ac:dyDescent="0.4">
      <c r="A3" s="1">
        <v>0.5</v>
      </c>
      <c r="B3" s="1">
        <v>10</v>
      </c>
      <c r="C3" s="1">
        <v>1.3942592592592593</v>
      </c>
      <c r="E3" t="s">
        <v>26</v>
      </c>
      <c r="F3">
        <v>0.5</v>
      </c>
      <c r="G3">
        <v>0.14907486242342435</v>
      </c>
      <c r="H3">
        <v>1000</v>
      </c>
      <c r="I3">
        <v>149.07486242342435</v>
      </c>
    </row>
    <row r="4" spans="1:9" x14ac:dyDescent="0.4">
      <c r="A4" s="1">
        <v>0.5</v>
      </c>
      <c r="B4" s="1">
        <v>100</v>
      </c>
      <c r="C4" s="1">
        <v>13.942592592592593</v>
      </c>
      <c r="E4" t="s">
        <v>27</v>
      </c>
      <c r="F4">
        <v>0.5</v>
      </c>
      <c r="G4">
        <v>0.17377143724389132</v>
      </c>
      <c r="H4">
        <v>100</v>
      </c>
      <c r="I4">
        <v>17.377143724389132</v>
      </c>
    </row>
    <row r="5" spans="1:9" x14ac:dyDescent="0.4">
      <c r="A5" s="1">
        <v>0.5</v>
      </c>
      <c r="B5" s="1">
        <v>1000</v>
      </c>
      <c r="C5" s="1">
        <v>139.42592592592592</v>
      </c>
      <c r="E5" t="s">
        <v>28</v>
      </c>
      <c r="F5">
        <v>0.5</v>
      </c>
      <c r="G5">
        <v>0.12987424111014745</v>
      </c>
      <c r="H5">
        <v>10</v>
      </c>
      <c r="I5">
        <v>1.2987424111014745</v>
      </c>
    </row>
    <row r="6" spans="1:9" x14ac:dyDescent="0.4">
      <c r="A6" s="1">
        <v>0.5</v>
      </c>
      <c r="B6" s="1">
        <v>10000</v>
      </c>
      <c r="C6" s="1">
        <v>1394.2592592592594</v>
      </c>
      <c r="H6">
        <v>1</v>
      </c>
      <c r="I6">
        <f>AVERAGE(G2:G5)</f>
        <v>0.14280691816873642</v>
      </c>
    </row>
    <row r="7" spans="1:9" x14ac:dyDescent="0.4">
      <c r="A7" s="1">
        <v>0.6</v>
      </c>
      <c r="B7" s="1">
        <v>1</v>
      </c>
      <c r="C7" s="1">
        <v>0.13948751560549313</v>
      </c>
      <c r="E7" t="s">
        <v>25</v>
      </c>
      <c r="F7">
        <v>0.6</v>
      </c>
      <c r="G7">
        <v>0.12010172188441211</v>
      </c>
      <c r="H7">
        <v>10000</v>
      </c>
      <c r="I7">
        <v>1201.0172188441211</v>
      </c>
    </row>
    <row r="8" spans="1:9" x14ac:dyDescent="0.4">
      <c r="A8" s="1">
        <v>0.6</v>
      </c>
      <c r="B8" s="1">
        <v>10</v>
      </c>
      <c r="C8" s="1">
        <v>1.3948751560549313</v>
      </c>
      <c r="E8" t="s">
        <v>26</v>
      </c>
      <c r="F8">
        <v>0.6</v>
      </c>
      <c r="G8">
        <v>0.14907486242342435</v>
      </c>
      <c r="H8">
        <v>1000</v>
      </c>
      <c r="I8">
        <v>149.07486242342435</v>
      </c>
    </row>
    <row r="9" spans="1:9" x14ac:dyDescent="0.4">
      <c r="A9" s="1">
        <v>0.6</v>
      </c>
      <c r="B9" s="1">
        <v>100</v>
      </c>
      <c r="C9" s="1">
        <v>13.948751560549313</v>
      </c>
      <c r="E9" t="s">
        <v>27</v>
      </c>
      <c r="F9">
        <v>0.6</v>
      </c>
      <c r="G9">
        <v>0.17049324631962362</v>
      </c>
      <c r="H9">
        <v>100</v>
      </c>
      <c r="I9">
        <v>17.049324631962364</v>
      </c>
    </row>
    <row r="10" spans="1:9" x14ac:dyDescent="0.4">
      <c r="A10" s="1">
        <v>0.6</v>
      </c>
      <c r="B10" s="1">
        <v>1000</v>
      </c>
      <c r="C10" s="1">
        <v>139.48751560549314</v>
      </c>
      <c r="E10" t="s">
        <v>28</v>
      </c>
      <c r="F10">
        <v>0.6</v>
      </c>
      <c r="G10">
        <v>0.12911535125758891</v>
      </c>
      <c r="H10">
        <v>10</v>
      </c>
      <c r="I10">
        <v>1.2911535125758891</v>
      </c>
    </row>
    <row r="11" spans="1:9" x14ac:dyDescent="0.4">
      <c r="A11" s="1">
        <v>0.6</v>
      </c>
      <c r="B11" s="1">
        <v>10000</v>
      </c>
      <c r="C11" s="1">
        <v>1394.8751560549313</v>
      </c>
      <c r="H11">
        <v>1</v>
      </c>
      <c r="I11">
        <f>AVERAGE(G7:G10)</f>
        <v>0.14219629547126225</v>
      </c>
    </row>
    <row r="12" spans="1:9" x14ac:dyDescent="0.4">
      <c r="A12" s="1">
        <v>0.7</v>
      </c>
      <c r="B12" s="1">
        <v>1</v>
      </c>
      <c r="C12" s="1">
        <v>0.14034997919267581</v>
      </c>
      <c r="E12" t="s">
        <v>25</v>
      </c>
      <c r="F12">
        <v>0.7</v>
      </c>
      <c r="G12">
        <v>0.12056202761834404</v>
      </c>
      <c r="H12">
        <v>10000</v>
      </c>
      <c r="I12">
        <v>1205.6202761834404</v>
      </c>
    </row>
    <row r="13" spans="1:9" x14ac:dyDescent="0.4">
      <c r="A13" s="1">
        <v>0.7</v>
      </c>
      <c r="B13" s="1">
        <v>10</v>
      </c>
      <c r="C13" s="1">
        <v>1.403499791926758</v>
      </c>
      <c r="E13" t="s">
        <v>26</v>
      </c>
      <c r="F13">
        <v>0.7</v>
      </c>
      <c r="G13">
        <v>0.14976637939985465</v>
      </c>
      <c r="H13">
        <v>1000</v>
      </c>
      <c r="I13">
        <v>149.76637939985466</v>
      </c>
    </row>
    <row r="14" spans="1:9" x14ac:dyDescent="0.4">
      <c r="A14" s="1">
        <v>0.7</v>
      </c>
      <c r="B14" s="1">
        <v>100</v>
      </c>
      <c r="C14" s="1">
        <v>14.03499791926758</v>
      </c>
      <c r="E14" t="s">
        <v>27</v>
      </c>
      <c r="F14">
        <v>0.7</v>
      </c>
      <c r="G14">
        <v>0.17276825011382604</v>
      </c>
      <c r="H14">
        <v>100</v>
      </c>
      <c r="I14">
        <v>17.276825011382606</v>
      </c>
    </row>
    <row r="15" spans="1:9" x14ac:dyDescent="0.4">
      <c r="A15" s="1">
        <v>0.7</v>
      </c>
      <c r="B15" s="1">
        <v>1000</v>
      </c>
      <c r="C15" s="1">
        <v>140.34997919267582</v>
      </c>
      <c r="E15" t="s">
        <v>28</v>
      </c>
      <c r="F15">
        <v>0.7</v>
      </c>
      <c r="G15">
        <v>0.13020815264527319</v>
      </c>
      <c r="H15">
        <v>10</v>
      </c>
      <c r="I15">
        <v>1.3020815264527319</v>
      </c>
    </row>
    <row r="16" spans="1:9" x14ac:dyDescent="0.4">
      <c r="A16" s="1">
        <v>0.7</v>
      </c>
      <c r="B16" s="1">
        <v>10000</v>
      </c>
      <c r="C16" s="1">
        <v>1403.499791926758</v>
      </c>
      <c r="H16">
        <v>1</v>
      </c>
      <c r="I16">
        <f>AVERAGE(G12:G15)</f>
        <v>0.14332620244432448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>
      <selection activeCell="E6" sqref="E6"/>
    </sheetView>
  </sheetViews>
  <sheetFormatPr defaultColWidth="8.69140625" defaultRowHeight="14.6" x14ac:dyDescent="0.4"/>
  <cols>
    <col min="1" max="1" width="16.4609375" style="10" customWidth="1"/>
    <col min="2" max="3" width="20.4609375" style="4" customWidth="1"/>
    <col min="4" max="16384" width="8.69140625" style="4"/>
  </cols>
  <sheetData>
    <row r="1" spans="1:3" s="3" customFormat="1" x14ac:dyDescent="0.4">
      <c r="A1" s="9" t="s">
        <v>24</v>
      </c>
      <c r="B1" s="3" t="s">
        <v>38</v>
      </c>
      <c r="C1" s="3" t="s">
        <v>39</v>
      </c>
    </row>
    <row r="2" spans="1:3" x14ac:dyDescent="0.4">
      <c r="A2" s="10">
        <v>0.5</v>
      </c>
      <c r="B2" s="4">
        <v>10000</v>
      </c>
      <c r="C2" s="4">
        <v>1185.0713189748253</v>
      </c>
    </row>
    <row r="3" spans="1:3" x14ac:dyDescent="0.4">
      <c r="A3" s="10">
        <v>0.5</v>
      </c>
      <c r="B3" s="4">
        <v>1000</v>
      </c>
      <c r="C3" s="4">
        <v>149.07486242342435</v>
      </c>
    </row>
    <row r="4" spans="1:3" x14ac:dyDescent="0.4">
      <c r="A4" s="10">
        <v>0.5</v>
      </c>
      <c r="B4" s="4">
        <v>100</v>
      </c>
      <c r="C4" s="4">
        <v>17.377143724389132</v>
      </c>
    </row>
    <row r="5" spans="1:3" x14ac:dyDescent="0.4">
      <c r="A5" s="10">
        <v>0.5</v>
      </c>
      <c r="B5" s="4">
        <v>10</v>
      </c>
      <c r="C5" s="4">
        <v>1.2987424111014745</v>
      </c>
    </row>
    <row r="6" spans="1:3" x14ac:dyDescent="0.4">
      <c r="A6" s="10">
        <v>0.5</v>
      </c>
      <c r="B6" s="4">
        <v>1</v>
      </c>
      <c r="C6" s="4">
        <v>0.14280691816873642</v>
      </c>
    </row>
    <row r="7" spans="1:3" x14ac:dyDescent="0.4">
      <c r="A7" s="10">
        <v>0.6</v>
      </c>
      <c r="B7" s="4">
        <v>10000</v>
      </c>
      <c r="C7" s="4">
        <v>1201.0172188441211</v>
      </c>
    </row>
    <row r="8" spans="1:3" x14ac:dyDescent="0.4">
      <c r="A8" s="10">
        <v>0.6</v>
      </c>
      <c r="B8" s="4">
        <v>1000</v>
      </c>
      <c r="C8" s="4">
        <v>149.07486242342435</v>
      </c>
    </row>
    <row r="9" spans="1:3" x14ac:dyDescent="0.4">
      <c r="A9" s="10">
        <v>0.6</v>
      </c>
      <c r="B9" s="4">
        <v>100</v>
      </c>
      <c r="C9" s="4">
        <v>17.049324631962364</v>
      </c>
    </row>
    <row r="10" spans="1:3" x14ac:dyDescent="0.4">
      <c r="A10" s="10">
        <v>0.6</v>
      </c>
      <c r="B10" s="4">
        <v>10</v>
      </c>
      <c r="C10" s="4">
        <v>1.2911535125758891</v>
      </c>
    </row>
    <row r="11" spans="1:3" x14ac:dyDescent="0.4">
      <c r="A11" s="10">
        <v>0.6</v>
      </c>
      <c r="B11" s="4">
        <v>1</v>
      </c>
      <c r="C11" s="4">
        <v>0.14219629547126225</v>
      </c>
    </row>
    <row r="12" spans="1:3" x14ac:dyDescent="0.4">
      <c r="A12" s="10">
        <v>0.7</v>
      </c>
      <c r="B12" s="4">
        <v>10000</v>
      </c>
      <c r="C12" s="4">
        <v>1205.6202761834404</v>
      </c>
    </row>
    <row r="13" spans="1:3" x14ac:dyDescent="0.4">
      <c r="A13" s="10">
        <v>0.7</v>
      </c>
      <c r="B13" s="4">
        <v>1000</v>
      </c>
      <c r="C13" s="4">
        <v>149.76637939985466</v>
      </c>
    </row>
    <row r="14" spans="1:3" x14ac:dyDescent="0.4">
      <c r="A14" s="10">
        <v>0.7</v>
      </c>
      <c r="B14" s="4">
        <v>100</v>
      </c>
      <c r="C14" s="4">
        <v>17.276825011382606</v>
      </c>
    </row>
    <row r="15" spans="1:3" x14ac:dyDescent="0.4">
      <c r="A15" s="10">
        <v>0.7</v>
      </c>
      <c r="B15" s="4">
        <v>10</v>
      </c>
      <c r="C15" s="4">
        <v>1.3020815264527319</v>
      </c>
    </row>
    <row r="16" spans="1:3" x14ac:dyDescent="0.4">
      <c r="A16" s="10">
        <v>0.7</v>
      </c>
      <c r="B16" s="4">
        <v>1</v>
      </c>
      <c r="C16" s="4">
        <v>0.14332620244432448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0C33-A8EA-4DBE-AAAD-D0BD9B90091E}">
  <dimension ref="A1:I13"/>
  <sheetViews>
    <sheetView tabSelected="1" zoomScale="90" zoomScaleNormal="90" workbookViewId="0">
      <selection activeCell="H12" sqref="H12"/>
    </sheetView>
  </sheetViews>
  <sheetFormatPr defaultColWidth="8.69140625" defaultRowHeight="14.6" x14ac:dyDescent="0.4"/>
  <cols>
    <col min="1" max="1" width="9" style="22" customWidth="1"/>
    <col min="2" max="2" width="10.15234375" style="22" customWidth="1"/>
    <col min="3" max="3" width="13.84375" style="22" customWidth="1"/>
    <col min="4" max="4" width="15.53515625" style="22" customWidth="1"/>
    <col min="5" max="5" width="19.84375" style="22" customWidth="1"/>
    <col min="6" max="6" width="18.4609375" style="22" customWidth="1"/>
    <col min="7" max="7" width="19.15234375" style="22" customWidth="1"/>
    <col min="8" max="8" width="18.4609375" style="22" customWidth="1"/>
    <col min="9" max="9" width="15" style="22" customWidth="1"/>
    <col min="10" max="16384" width="8.69140625" style="23"/>
  </cols>
  <sheetData>
    <row r="1" spans="1:9" s="21" customFormat="1" ht="43.75" x14ac:dyDescent="0.4">
      <c r="A1" s="17" t="s">
        <v>44</v>
      </c>
      <c r="B1" s="18" t="s">
        <v>24</v>
      </c>
      <c r="C1" s="18" t="s">
        <v>45</v>
      </c>
      <c r="D1" s="18" t="s">
        <v>42</v>
      </c>
      <c r="E1" s="18" t="s">
        <v>40</v>
      </c>
      <c r="F1" s="18" t="s">
        <v>41</v>
      </c>
      <c r="G1" s="18" t="s">
        <v>43</v>
      </c>
      <c r="H1" s="20" t="s">
        <v>36</v>
      </c>
      <c r="I1" s="20" t="s">
        <v>37</v>
      </c>
    </row>
    <row r="2" spans="1:9" x14ac:dyDescent="0.4">
      <c r="A2" s="13">
        <v>1</v>
      </c>
      <c r="B2" s="14">
        <v>0.5</v>
      </c>
      <c r="C2" s="24">
        <f t="shared" ref="C2:C10" si="0">(D2*G2)</f>
        <v>2078.2595720861596</v>
      </c>
      <c r="D2" s="11">
        <v>17537</v>
      </c>
      <c r="E2" s="11">
        <f>(D2-F2)</f>
        <v>16059</v>
      </c>
      <c r="F2" s="11">
        <v>1478</v>
      </c>
      <c r="G2" s="26">
        <v>0.11850713189748301</v>
      </c>
      <c r="H2" s="22">
        <v>10000</v>
      </c>
      <c r="I2" s="22">
        <v>1185.0713189748253</v>
      </c>
    </row>
    <row r="3" spans="1:9" x14ac:dyDescent="0.4">
      <c r="A3" s="13">
        <v>2</v>
      </c>
      <c r="B3" s="14">
        <v>0.5</v>
      </c>
      <c r="C3" s="24">
        <f t="shared" si="0"/>
        <v>2746.8534150140172</v>
      </c>
      <c r="D3" s="11">
        <v>18426</v>
      </c>
      <c r="E3" s="11">
        <f>(D3-F3)</f>
        <v>16771</v>
      </c>
      <c r="F3" s="11">
        <v>1655</v>
      </c>
      <c r="G3" s="26">
        <v>0.14907486242342435</v>
      </c>
      <c r="H3" s="22">
        <v>1000</v>
      </c>
      <c r="I3" s="22">
        <v>149.07486242342435</v>
      </c>
    </row>
    <row r="4" spans="1:9" x14ac:dyDescent="0.4">
      <c r="A4" s="13">
        <v>4</v>
      </c>
      <c r="B4" s="14">
        <v>0.5</v>
      </c>
      <c r="C4" s="24">
        <f t="shared" si="0"/>
        <v>922.37878889057515</v>
      </c>
      <c r="D4" s="11">
        <v>5308</v>
      </c>
      <c r="E4" s="11">
        <f>(D4-F4)</f>
        <v>5163</v>
      </c>
      <c r="F4" s="11">
        <v>145</v>
      </c>
      <c r="G4" s="26">
        <v>0.17377143724389132</v>
      </c>
      <c r="H4" s="22">
        <v>100</v>
      </c>
      <c r="I4" s="22">
        <v>17.377143724389132</v>
      </c>
    </row>
    <row r="5" spans="1:9" x14ac:dyDescent="0.4">
      <c r="A5" s="13">
        <v>1</v>
      </c>
      <c r="B5" s="14">
        <v>0.6</v>
      </c>
      <c r="C5" s="24">
        <f t="shared" si="0"/>
        <v>2106.2238966869349</v>
      </c>
      <c r="D5" s="11">
        <v>17537</v>
      </c>
      <c r="E5" s="11">
        <v>16059</v>
      </c>
      <c r="F5" s="11">
        <v>1478</v>
      </c>
      <c r="G5" s="26">
        <v>0.12010172188441211</v>
      </c>
      <c r="H5" s="22">
        <v>10000</v>
      </c>
      <c r="I5" s="22">
        <v>1201.0172188441211</v>
      </c>
    </row>
    <row r="6" spans="1:9" x14ac:dyDescent="0.4">
      <c r="A6" s="13">
        <v>2</v>
      </c>
      <c r="B6" s="14">
        <v>0.6</v>
      </c>
      <c r="C6" s="24">
        <f t="shared" si="0"/>
        <v>2746.8534150140172</v>
      </c>
      <c r="D6" s="11">
        <v>18426</v>
      </c>
      <c r="E6" s="11">
        <f>(D6-F6)</f>
        <v>16771</v>
      </c>
      <c r="F6" s="11">
        <v>1655</v>
      </c>
      <c r="G6" s="26">
        <v>0.14907486242342435</v>
      </c>
      <c r="H6" s="22">
        <v>1000</v>
      </c>
      <c r="I6" s="22">
        <v>149.07486242342435</v>
      </c>
    </row>
    <row r="7" spans="1:9" x14ac:dyDescent="0.4">
      <c r="A7" s="13">
        <v>4</v>
      </c>
      <c r="B7" s="14">
        <v>0.6</v>
      </c>
      <c r="C7" s="24">
        <f t="shared" si="0"/>
        <v>904.97815146456219</v>
      </c>
      <c r="D7" s="11">
        <v>5308</v>
      </c>
      <c r="E7" s="11">
        <v>5163</v>
      </c>
      <c r="F7" s="11">
        <v>145</v>
      </c>
      <c r="G7" s="26">
        <v>0.17049324631962362</v>
      </c>
      <c r="H7" s="22">
        <v>100</v>
      </c>
      <c r="I7" s="22">
        <v>17.049324631962364</v>
      </c>
    </row>
    <row r="8" spans="1:9" x14ac:dyDescent="0.4">
      <c r="A8" s="13">
        <v>1</v>
      </c>
      <c r="B8" s="14">
        <v>0.7</v>
      </c>
      <c r="C8" s="24">
        <f t="shared" si="0"/>
        <v>2114.2962783428993</v>
      </c>
      <c r="D8" s="11">
        <v>17537</v>
      </c>
      <c r="E8" s="11">
        <v>16059</v>
      </c>
      <c r="F8" s="11">
        <v>1478</v>
      </c>
      <c r="G8" s="26">
        <v>0.12056202761834404</v>
      </c>
      <c r="H8" s="22">
        <v>10000</v>
      </c>
      <c r="I8" s="22">
        <v>1205.6202761834404</v>
      </c>
    </row>
    <row r="9" spans="1:9" x14ac:dyDescent="0.4">
      <c r="A9" s="13">
        <v>2</v>
      </c>
      <c r="B9" s="14">
        <v>0.7</v>
      </c>
      <c r="C9" s="24">
        <f t="shared" si="0"/>
        <v>2759.5953068217218</v>
      </c>
      <c r="D9" s="11">
        <v>18426</v>
      </c>
      <c r="E9" s="11">
        <f>(D9-F9)</f>
        <v>16771</v>
      </c>
      <c r="F9" s="11">
        <v>1655</v>
      </c>
      <c r="G9" s="26">
        <v>0.14976637939985465</v>
      </c>
      <c r="H9" s="22">
        <v>1000</v>
      </c>
      <c r="I9" s="22">
        <v>149.76637939985466</v>
      </c>
    </row>
    <row r="10" spans="1:9" x14ac:dyDescent="0.4">
      <c r="A10" s="15">
        <v>4</v>
      </c>
      <c r="B10" s="16">
        <v>0.7</v>
      </c>
      <c r="C10" s="25">
        <f t="shared" si="0"/>
        <v>917.05387160418866</v>
      </c>
      <c r="D10" s="12">
        <v>5308</v>
      </c>
      <c r="E10" s="12">
        <v>5163</v>
      </c>
      <c r="F10" s="12">
        <v>145</v>
      </c>
      <c r="G10" s="27">
        <v>0.17276825011382604</v>
      </c>
      <c r="H10" s="22">
        <v>100</v>
      </c>
      <c r="I10" s="22">
        <v>17.276825011382606</v>
      </c>
    </row>
    <row r="12" spans="1:9" x14ac:dyDescent="0.4">
      <c r="G12" s="28">
        <f>AVERAGE(G2:G10)</f>
        <v>0.14712443548047596</v>
      </c>
    </row>
    <row r="13" spans="1:9" x14ac:dyDescent="0.4">
      <c r="G13" s="22">
        <v>0.14712443548047599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Processing_time_all_datasets</vt:lpstr>
      <vt:lpstr>Copy</vt:lpstr>
      <vt:lpstr>Resumen</vt:lpstr>
      <vt:lpstr>PivotChart</vt:lpstr>
      <vt:lpstr>Final</vt:lpstr>
      <vt:lpstr>TablaParaR</vt:lpstr>
      <vt:lpstr>TABLA R</vt:lpstr>
      <vt:lpstr>TablePaper_update2025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Arboleda Baena, Clara María</dc:creator>
  <cp:lastModifiedBy>Arboleda Baena, Clara María</cp:lastModifiedBy>
  <dcterms:created xsi:type="dcterms:W3CDTF">2025-07-07T14:53:47Z</dcterms:created>
  <dcterms:modified xsi:type="dcterms:W3CDTF">2025-08-18T11:32:26Z</dcterms:modified>
</cp:coreProperties>
</file>